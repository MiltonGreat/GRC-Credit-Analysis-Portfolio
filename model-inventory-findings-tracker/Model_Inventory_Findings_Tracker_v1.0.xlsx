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166925"/>
  <mc:AlternateContent xmlns:mc="http://schemas.openxmlformats.org/markup-compatibility/2006">
    <mc:Choice Requires="x15">
      <x15ac:absPath xmlns:x15ac="http://schemas.microsoft.com/office/spreadsheetml/2010/11/ac" url="https://d.docs.live.net/2d34fbec5975e609/Desktop/"/>
    </mc:Choice>
  </mc:AlternateContent>
  <xr:revisionPtr revIDLastSave="0" documentId="8_{5AD7CDC0-BFE8-492B-B327-F05D11128970}" xr6:coauthVersionLast="47" xr6:coauthVersionMax="47" xr10:uidLastSave="{00000000-0000-0000-0000-000000000000}"/>
  <bookViews>
    <workbookView xWindow="9180" yWindow="1740" windowWidth="17580" windowHeight="13740" firstSheet="2" activeTab="2" xr2:uid="{CDE8C0D4-08A1-41E1-9DBF-E958AFACA0FC}"/>
  </bookViews>
  <sheets>
    <sheet name="README" sheetId="1" r:id="rId1"/>
    <sheet name="Executive Summary" sheetId="2" r:id="rId2"/>
    <sheet name="Model Inventory" sheetId="3" r:id="rId3"/>
    <sheet name="Findings Log" sheetId="4" r:id="rId4"/>
    <sheet name="Review Calendar" sheetId="5" r:id="rId5"/>
    <sheet name="Lookup Tables"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3" i="3" l="1"/>
  <c r="K4" i="3"/>
  <c r="I4" i="5" s="1"/>
  <c r="F29" i="2" s="1"/>
  <c r="K5" i="3"/>
  <c r="I5" i="5" s="1"/>
  <c r="F30" i="2" s="1"/>
  <c r="K6" i="3"/>
  <c r="I6" i="5" s="1"/>
  <c r="F31" i="2" s="1"/>
  <c r="K7" i="3"/>
  <c r="I7" i="5" s="1"/>
  <c r="F32" i="2" s="1"/>
  <c r="K2" i="3"/>
  <c r="I2" i="5" s="1"/>
  <c r="F27" i="2" s="1"/>
  <c r="I3" i="5"/>
  <c r="F28" i="2" s="1"/>
  <c r="C2" i="4"/>
  <c r="E3" i="5"/>
  <c r="E4" i="5"/>
  <c r="E5" i="5"/>
  <c r="E6" i="5"/>
  <c r="E7" i="5"/>
  <c r="I3" i="3"/>
  <c r="I4" i="3"/>
  <c r="I5" i="3"/>
  <c r="I6" i="3"/>
  <c r="I7" i="3"/>
  <c r="J9" i="4"/>
  <c r="J3" i="3"/>
  <c r="F3" i="5" s="1"/>
  <c r="J4" i="3"/>
  <c r="F4" i="5" s="1"/>
  <c r="J5" i="3"/>
  <c r="F5" i="5" s="1"/>
  <c r="J6" i="3"/>
  <c r="F6" i="5" s="1"/>
  <c r="J7" i="3"/>
  <c r="F7" i="5" s="1"/>
  <c r="B22" i="2"/>
  <c r="B21" i="2"/>
  <c r="B20" i="2"/>
  <c r="B19" i="2"/>
  <c r="B11" i="2"/>
  <c r="B10" i="2"/>
  <c r="B9" i="2"/>
  <c r="B8" i="2"/>
  <c r="B7" i="2"/>
  <c r="A3" i="5"/>
  <c r="B3" i="5"/>
  <c r="A28" i="2" s="1"/>
  <c r="C3" i="5"/>
  <c r="B28" i="2" s="1"/>
  <c r="D3" i="5"/>
  <c r="C28" i="2" s="1"/>
  <c r="A4" i="5"/>
  <c r="B4" i="5"/>
  <c r="A29" i="2" s="1"/>
  <c r="C4" i="5"/>
  <c r="B29" i="2" s="1"/>
  <c r="D4" i="5"/>
  <c r="C29" i="2" s="1"/>
  <c r="A5" i="5"/>
  <c r="B5" i="5"/>
  <c r="A30" i="2" s="1"/>
  <c r="C5" i="5"/>
  <c r="B30" i="2" s="1"/>
  <c r="D5" i="5"/>
  <c r="C30" i="2" s="1"/>
  <c r="A6" i="5"/>
  <c r="B6" i="5"/>
  <c r="A31" i="2" s="1"/>
  <c r="C6" i="5"/>
  <c r="B31" i="2" s="1"/>
  <c r="D6" i="5"/>
  <c r="C31" i="2" s="1"/>
  <c r="A7" i="5"/>
  <c r="B7" i="5"/>
  <c r="A32" i="2" s="1"/>
  <c r="C7" i="5"/>
  <c r="B32" i="2" s="1"/>
  <c r="D7" i="5"/>
  <c r="C32" i="2" s="1"/>
  <c r="E2" i="5"/>
  <c r="D2" i="5"/>
  <c r="C27" i="2" s="1"/>
  <c r="C2" i="5"/>
  <c r="B2" i="5"/>
  <c r="A27" i="2" s="1"/>
  <c r="A2" i="5"/>
  <c r="J2" i="4"/>
  <c r="K9" i="4"/>
  <c r="J3" i="4"/>
  <c r="K3" i="4"/>
  <c r="J4" i="4"/>
  <c r="K4" i="4"/>
  <c r="J5" i="4"/>
  <c r="K5" i="4"/>
  <c r="J6" i="4"/>
  <c r="K6" i="4"/>
  <c r="J7" i="4"/>
  <c r="K7" i="4"/>
  <c r="J8" i="4"/>
  <c r="K8" i="4"/>
  <c r="K2" i="4"/>
  <c r="C3" i="4"/>
  <c r="C4" i="4"/>
  <c r="C5" i="4"/>
  <c r="C6" i="4"/>
  <c r="C7" i="4"/>
  <c r="C8" i="4"/>
  <c r="C9" i="4"/>
  <c r="J2" i="3"/>
  <c r="F2" i="5" s="1"/>
  <c r="I2" i="3"/>
  <c r="D28" i="2" l="1"/>
  <c r="G3" i="5"/>
  <c r="H3" i="5" s="1"/>
  <c r="E28" i="2" s="1"/>
  <c r="D29" i="2"/>
  <c r="G4" i="5"/>
  <c r="H4" i="5" s="1"/>
  <c r="E29" i="2" s="1"/>
  <c r="D30" i="2"/>
  <c r="G5" i="5"/>
  <c r="H5" i="5" s="1"/>
  <c r="E30" i="2" s="1"/>
  <c r="D32" i="2"/>
  <c r="G7" i="5"/>
  <c r="H7" i="5" s="1"/>
  <c r="E32" i="2" s="1"/>
  <c r="B27" i="2"/>
  <c r="G6" i="5"/>
  <c r="H6" i="5" s="1"/>
  <c r="E31" i="2" s="1"/>
  <c r="D31" i="2"/>
  <c r="D27" i="2"/>
  <c r="G2" i="5"/>
  <c r="H2" i="5" s="1"/>
  <c r="E27" i="2" l="1"/>
  <c r="B12" i="2"/>
  <c r="B13" i="2"/>
</calcChain>
</file>

<file path=xl/sharedStrings.xml><?xml version="1.0" encoding="utf-8"?>
<sst xmlns="http://schemas.openxmlformats.org/spreadsheetml/2006/main" count="235" uniqueCount="169">
  <si>
    <t>Risk Tier</t>
  </si>
  <si>
    <t>Lookup Tables — Standardized Values</t>
  </si>
  <si>
    <t>Validation Cadence (months)</t>
  </si>
  <si>
    <t>Tier 1</t>
  </si>
  <si>
    <t>Tier 2</t>
  </si>
  <si>
    <t>Tier 3</t>
  </si>
  <si>
    <t>Table 1: Risk Tiers</t>
  </si>
  <si>
    <t>Table 2: Validation Status</t>
  </si>
  <si>
    <t>Validation Status</t>
  </si>
  <si>
    <t>Validated</t>
  </si>
  <si>
    <t>Conditionally Approved</t>
  </si>
  <si>
    <t>Not Approved</t>
  </si>
  <si>
    <t>Table 3: Finding Severity</t>
  </si>
  <si>
    <t>Severity</t>
  </si>
  <si>
    <t>High</t>
  </si>
  <si>
    <t>Medium</t>
  </si>
  <si>
    <t>Low</t>
  </si>
  <si>
    <t>Table 4: Finding Status</t>
  </si>
  <si>
    <t>Status</t>
  </si>
  <si>
    <t>Open</t>
  </si>
  <si>
    <t>In Remediation</t>
  </si>
  <si>
    <t>Closed</t>
  </si>
  <si>
    <t>Table 5: Model Types</t>
  </si>
  <si>
    <t>Model Type</t>
  </si>
  <si>
    <t>Credit Risk</t>
  </si>
  <si>
    <t>IFRS 9 ECL</t>
  </si>
  <si>
    <t>Collections</t>
  </si>
  <si>
    <t>Market Risk</t>
  </si>
  <si>
    <t>Fraud</t>
  </si>
  <si>
    <t>AI/ML</t>
  </si>
  <si>
    <t>Model ID</t>
  </si>
  <si>
    <t>Model Name</t>
  </si>
  <si>
    <t>Model Owner (1st Line)</t>
  </si>
  <si>
    <t>Last Validation Date</t>
  </si>
  <si>
    <t>Risk</t>
  </si>
  <si>
    <t>Market Risk VaR</t>
  </si>
  <si>
    <t>Trading</t>
  </si>
  <si>
    <t>Blue = hardcoded input (model owner submits/updates). Next Validation Date and Open Findings are computed -- do not overtype them.</t>
  </si>
  <si>
    <t>Purpose</t>
  </si>
  <si>
    <t>Validation Lead</t>
  </si>
  <si>
    <t>Next Validation Date</t>
  </si>
  <si>
    <t>Open High/Med Findings</t>
  </si>
  <si>
    <t>MDL-001</t>
  </si>
  <si>
    <t>Lending Club Credit Risk</t>
  </si>
  <si>
    <t>Early warning delinquency detection</t>
  </si>
  <si>
    <t>Credit Risk Dept</t>
  </si>
  <si>
    <t>Independent Validation Team</t>
  </si>
  <si>
    <t>MDL-002</t>
  </si>
  <si>
    <t>Fannie Mae IFRS 9 ECL</t>
  </si>
  <si>
    <t>Expected credit loss calculation</t>
  </si>
  <si>
    <t>MDL-003</t>
  </si>
  <si>
    <t>MDL-004</t>
  </si>
  <si>
    <t>MDL-005</t>
  </si>
  <si>
    <t>MDL-006</t>
  </si>
  <si>
    <t>AML Transaction Monitoring</t>
  </si>
  <si>
    <t>Suspicious activity detection</t>
  </si>
  <si>
    <t>Compliance</t>
  </si>
  <si>
    <t>Trading book value-at-risk</t>
  </si>
  <si>
    <t>SME Credit Scoring</t>
  </si>
  <si>
    <t>Small business credit scoring</t>
  </si>
  <si>
    <t>Operational Risk Capital</t>
  </si>
  <si>
    <t>Operational risk capital estimate</t>
  </si>
  <si>
    <t>Finding ID</t>
  </si>
  <si>
    <t>Finding Description</t>
  </si>
  <si>
    <t>Owner</t>
  </si>
  <si>
    <t>Blue = hardcoded input (validation team logs findings here). Model Name, Days Open, and Overdue? are computed.</t>
  </si>
  <si>
    <t>Identified Date</t>
  </si>
  <si>
    <t>Due Date</t>
  </si>
  <si>
    <t>Days Open</t>
  </si>
  <si>
    <t>Overdue?</t>
  </si>
  <si>
    <t>FND-001</t>
  </si>
  <si>
    <t>Severe fairness concerns (DI 0.2435)</t>
  </si>
  <si>
    <t>Model Risk Team</t>
  </si>
  <si>
    <t>FND-002</t>
  </si>
  <si>
    <t>Random train/test split — look-ahead bias risk</t>
  </si>
  <si>
    <t>Model Dev Team</t>
  </si>
  <si>
    <t>FND-003</t>
  </si>
  <si>
    <t>Poor calibration (HL p-value 0.0000)</t>
  </si>
  <si>
    <t>FND-004</t>
  </si>
  <si>
    <t>IFRS 9 staging misalignment</t>
  </si>
  <si>
    <t>FND-005</t>
  </si>
  <si>
    <t>High-missing features imputed</t>
  </si>
  <si>
    <t>FND-006</t>
  </si>
  <si>
    <t>Low precision (high false positives)</t>
  </si>
  <si>
    <t>FND-007</t>
  </si>
  <si>
    <t>Protected attribute proxy</t>
  </si>
  <si>
    <t>FND-008</t>
  </si>
  <si>
    <t>Data leakage (post-origination features)</t>
  </si>
  <si>
    <t>Days Until Due</t>
  </si>
  <si>
    <t>Review Status</t>
  </si>
  <si>
    <t>Model Risk Governance — Executive Summary</t>
  </si>
  <si>
    <t>Acme Corp | Model Risk Management | Portfolio Sample</t>
  </si>
  <si>
    <t>Inventory Overview</t>
  </si>
  <si>
    <t>Total Models</t>
  </si>
  <si>
    <t>Tier 1 Models</t>
  </si>
  <si>
    <t>Tier 2 Models</t>
  </si>
  <si>
    <t>Tier 3 Models</t>
  </si>
  <si>
    <t>Not Approved / Conditional</t>
  </si>
  <si>
    <t>Reviews Overdue</t>
  </si>
  <si>
    <t>Reviews Due Soon (60 days)</t>
  </si>
  <si>
    <t>Open Findings by Severity</t>
  </si>
  <si>
    <t>High (Open/In Remediation)</t>
  </si>
  <si>
    <t>Medium (Open/In Remediation)</t>
  </si>
  <si>
    <t>Low (Open/In Remediation)</t>
  </si>
  <si>
    <t>Total Closed Findings</t>
  </si>
  <si>
    <t>Model</t>
  </si>
  <si>
    <t>Next Validation</t>
  </si>
  <si>
    <t>Open Findings</t>
  </si>
  <si>
    <t>Model Inventory &amp; Findings Tracker</t>
  </si>
  <si>
    <t>Sample portfolio piece — GRC / Model Risk Management (MRM) Analyst</t>
  </si>
  <si>
    <t>OBJECTIVE</t>
  </si>
  <si>
    <t>HOW IT WORKS — SHEET BY SHEET</t>
  </si>
  <si>
    <t>KEY MRM CONCEPTS THIS DEMONSTRATES</t>
  </si>
  <si>
    <t>DATA NOTE</t>
  </si>
  <si>
    <t>TECHNICAL NOTE</t>
  </si>
  <si>
    <t>1. Model Inventory — One row per model: owner, purpose, risk tier, validation status, last and next validation date. This is the governance register auditors and regulators would ask to see first.</t>
  </si>
  <si>
    <t>2. Findings Log — Every validation finding, linked to its model via INDEX/MATCH, with severity, status, and days-open (computed) so nothing ages silently.</t>
  </si>
  <si>
    <t>Maintain an inventory of all risk/quant models, log validation findings against each model, and track upcoming review deadlines.</t>
  </si>
  <si>
    <t>BUSINESS GOAL</t>
  </si>
  <si>
    <t>Give the Model Risk Committee a single, auditable view of which models are in use, which have open findings, and which are due for validation — so that no model runs past its review date without an approved exception.</t>
  </si>
  <si>
    <t>WHAT THIS WORKBOOK DOES</t>
  </si>
  <si>
    <t>Acts as the governed register for the model risk function. It tracks every model with a unique ID, an owner (1st line), a risk tier, and a validation cadence tied to that tier. It logs every validation finding against its model, with severity, owner, and due date. It computes upcoming review deadlines and flags any model that is overdue. It rolls all of this into a one-page dashboard for the Model Risk Committee.</t>
  </si>
  <si>
    <t>REGULATORY ANCHORS</t>
  </si>
  <si>
    <t>OSFI E-23 s.3.1 — Model inventory. The guideline requires firms to maintain a comprehensive inventory of all models with non-negligible risk. The Model Inventory tab is that inventory.</t>
  </si>
  <si>
    <t>OSFI E-23 s.3.2 — Risk-based validation frequency. Higher-tier models must be validated more frequently than lower-tier models. The Validation Cadence column and Review Calendar tab implement this.</t>
  </si>
  <si>
    <t>OSFI E-23 s.4.2 — Findings tracked to resolution. Validation findings must be documented, assigned an owner, and tracked until closed. The Findings Log tab implements this.</t>
  </si>
  <si>
    <t>SR 11-7 (US) — Parallel expectations for model inventory, validation independence, and ongoing monitoring. The workbook structure is compatible with both E-23 and SR 11-7 expectations.</t>
  </si>
  <si>
    <t>Start with the Executive Summary. If any metric is red, go to the Findings Log or Review Calendar to see why. The Model Inventory is the single source of truth for all model-level data — every other tab links back to it. Do not overtype computed columns (black); only edit input columns (blue).</t>
  </si>
  <si>
    <t>HOW IT WORKS</t>
  </si>
  <si>
    <t>3. Review Calendar — Every model's next review date with a computed 'Days Until Due' and an automatic Overdue / Due Soon / On Track flag. This is the control that proves no model is running past its due validation date.</t>
  </si>
  <si>
    <t>4. Executive Summary — Governance dashboard: models by risk tier, open findings by severity, overdue reviews. This is the one page a Model Risk Committee would actually see.</t>
  </si>
  <si>
    <t>5. Lookup Tables — Standardized dropdown values used across the workbook. Edit here to change what appears in the dropdowns.</t>
  </si>
  <si>
    <t>Model inventory: every model gets a unique ID, an owner (1st line), a risk tier (based on materiality, complexity, and regulatory exposure), and a validation cadence tied to that tier.</t>
  </si>
  <si>
    <t>A 'finding' is an issue identified during independent validation (2nd line). It always has a severity (High/Medium/Low), an owner responsible for remediation, and a due date. Findings are tracked until closed.</t>
  </si>
  <si>
    <t>Higher-tier (Tier 1) models are validated more frequently (annually) than lower-tier models (every 2–3 years), because the cost of an error scales with how the model is used.</t>
  </si>
  <si>
    <t>The Review Calendar is a governance control in itself: it is how a firm proves to a regulator that no model is running past its due validation date without an approved exception.</t>
  </si>
  <si>
    <t>WHAT THIS WORKBOOK DOES NOT DO</t>
  </si>
  <si>
    <t>It does not perform the validation itself. It does not calculate model risk ratings. It does not store model documentation, validation reports, or technical specifications. It is a register — a control that sits alongside validation, not a substitute for it.</t>
  </si>
  <si>
    <t>It does not replace the Model Risk Committee's judgment or the validator's findings. It tracks them.</t>
  </si>
  <si>
    <t>The model names, owners, and findings shown here are anonymized for portfolio use. The findings are derived from two independent validation projects (Lending Club and Fannie Mae) and illustrate how findings flow from validation into a governed register. The structure, formulas, and governance logic are directly transferable to a live MRM function.</t>
  </si>
  <si>
    <t>Blue fill = hardcoded input. Black = computed formula. Do not overtype computed columns. 'Today' formulas recalculate against whatever date you open the file on.</t>
  </si>
  <si>
    <t>Start here. This page explains what the workbook does, why it exists, which regulatory clauses it maps to, and what it does not do. If you are reading this workbook for the first time, read this page before opening any other tab.</t>
  </si>
  <si>
    <t>"How many models do we have, and how are they distributed by risk tier and validation status?" This tells you the size of the model population and how much of it is currently approved for use.</t>
  </si>
  <si>
    <t>"Which specific models need action this month?" A model appears here if it has an overdue validation, is due for review within 60 days, or carries one or more open High or Medium findings. This is the table the Committee will use to assign follow-up actions.</t>
  </si>
  <si>
    <t>Model Inventory</t>
  </si>
  <si>
    <t>This is the governed register of every model in use. It is the single source of truth that every other tab links back to. If a model is not in this tab, it is not tracked. If we are updating a model's details, update them here.</t>
  </si>
  <si>
    <t>Findings Log</t>
  </si>
  <si>
    <t>Review Calendar</t>
  </si>
  <si>
    <t xml:space="preserve">"How many validation findings are currently open, and how serious are they?" High-severity findings typically block deployment or require compensating controls. Medium findings are tracked but do not block use. </t>
  </si>
  <si>
    <t>Medium findings are tracked but do not block use. This section tells you whether the findings backlog is growing or shrinking.</t>
  </si>
  <si>
    <t xml:space="preserve">Every validation finding is logged here, linked to the model it affects. A finding is an issue identified by the independent validator (2nd line). It always has a severity, an owner responsible for remediation, and a due date. </t>
  </si>
  <si>
    <t>Findings stay in this tab until they are closed — they are never deleted, because a closed finding is evidence that a governance process worked.</t>
  </si>
  <si>
    <t xml:space="preserve">This is the validation schedule and a governance control in its own right. It answers the question a regulator will ask first: "Can you prove that no model is running past its due validation date without an approved exception?" </t>
  </si>
  <si>
    <t>Every model in the Model Inventory appears here automatically — do not add or remove rows manually.</t>
  </si>
  <si>
    <t xml:space="preserve">  </t>
  </si>
  <si>
    <r>
      <t>"What risk tiers exist, and how often must each be validated?"</t>
    </r>
    <r>
      <rPr>
        <sz val="11"/>
        <color theme="1"/>
        <rFont val="Calibri"/>
        <family val="2"/>
        <scheme val="minor"/>
      </rPr>
      <t xml:space="preserve"> Risk tier drives validation cadence. </t>
    </r>
  </si>
  <si>
    <t>Tier 1 models — high materiality, high complexity, or high regulatory exposure — are validated annually.</t>
  </si>
  <si>
    <t>Lower tiers are validated less frequently because the cost of an error is lower.</t>
  </si>
  <si>
    <r>
      <t>"What approval states can a model be in?"</t>
    </r>
    <r>
      <rPr>
        <sz val="11"/>
        <color theme="1"/>
        <rFont val="Calibri"/>
        <family val="2"/>
        <scheme val="minor"/>
      </rPr>
      <t xml:space="preserve"> A model is </t>
    </r>
    <r>
      <rPr>
        <b/>
        <sz val="11"/>
        <color theme="1"/>
        <rFont val="Calibri"/>
        <family val="2"/>
        <scheme val="minor"/>
      </rPr>
      <t>Validated</t>
    </r>
    <r>
      <rPr>
        <sz val="11"/>
        <color theme="1"/>
        <rFont val="Calibri"/>
        <family val="2"/>
        <scheme val="minor"/>
      </rPr>
      <t xml:space="preserve"> when it has passed validation with no material findings, </t>
    </r>
  </si>
  <si>
    <r>
      <t>Conditionally Approved</t>
    </r>
    <r>
      <rPr>
        <sz val="11"/>
        <color theme="1"/>
        <rFont val="Calibri"/>
        <family val="2"/>
        <scheme val="minor"/>
      </rPr>
      <t xml:space="preserve"> when it may be used subject to compensating controls or remediation timelines, </t>
    </r>
  </si>
  <si>
    <r>
      <t xml:space="preserve">and </t>
    </r>
    <r>
      <rPr>
        <b/>
        <sz val="11"/>
        <color theme="1"/>
        <rFont val="Calibri"/>
        <family val="2"/>
        <scheme val="minor"/>
      </rPr>
      <t>Not Approved</t>
    </r>
    <r>
      <rPr>
        <sz val="11"/>
        <color theme="1"/>
        <rFont val="Calibri"/>
        <family val="2"/>
        <scheme val="minor"/>
      </rPr>
      <t xml:space="preserve"> when it cannot be deployed.</t>
    </r>
  </si>
  <si>
    <r>
      <t>"How serious can a finding be?"</t>
    </r>
    <r>
      <rPr>
        <sz val="11"/>
        <color theme="1"/>
        <rFont val="Calibri"/>
        <family val="2"/>
        <scheme val="minor"/>
      </rPr>
      <t xml:space="preserve"> High severity typically blocks deployment or requires explicit Committee approval. </t>
    </r>
  </si>
  <si>
    <t>Medium severity is tracked to resolution but may permit conditional use. Low severity is noted for the next review cycle.</t>
  </si>
  <si>
    <r>
      <t>"What stage is a finding at?"</t>
    </r>
    <r>
      <rPr>
        <sz val="11"/>
        <color theme="1"/>
        <rFont val="Calibri"/>
        <family val="2"/>
        <scheme val="minor"/>
      </rPr>
      <t xml:space="preserve"> </t>
    </r>
    <r>
      <rPr>
        <b/>
        <sz val="11"/>
        <color theme="1"/>
        <rFont val="Calibri"/>
        <family val="2"/>
        <scheme val="minor"/>
      </rPr>
      <t>Open</t>
    </r>
    <r>
      <rPr>
        <sz val="11"/>
        <color theme="1"/>
        <rFont val="Calibri"/>
        <family val="2"/>
        <scheme val="minor"/>
      </rPr>
      <t xml:space="preserve"> means it has been identified but not yet actioned. </t>
    </r>
    <r>
      <rPr>
        <b/>
        <sz val="11"/>
        <color theme="1"/>
        <rFont val="Calibri"/>
        <family val="2"/>
        <scheme val="minor"/>
      </rPr>
      <t>In Remediation</t>
    </r>
    <r>
      <rPr>
        <sz val="11"/>
        <color theme="1"/>
        <rFont val="Calibri"/>
        <family val="2"/>
        <scheme val="minor"/>
      </rPr>
      <t xml:space="preserve"> means a fix is underway. </t>
    </r>
  </si>
  <si>
    <t>Closed means the fix has been completed and verified. Only Closed findings are excluded from the open-findings count on the</t>
  </si>
  <si>
    <t>Model Inventory tab.</t>
  </si>
  <si>
    <t>The Model Inventory is the master register. The Findings Log links to it by Model ID. The Review Calendar links to it by Model ID</t>
  </si>
  <si>
    <t xml:space="preserve">and date. The Executive Summary pulls from all three. If a number looks wrong on the Executive Summary, trace it back through </t>
  </si>
  <si>
    <t>the Review Calendar and Findings Log to the Model Inventory — that is the single source of truth.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</si>
</sst>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7" x14ac:knownFonts="1">
    <font>
      <sz val="11"/>
      <color theme="1"/>
      <name val="Calibri"/>
      <family val="2"/>
      <scheme val="minor"/>
    </font>
    <font>
      <b/>
      <sz val="11"/>
      <color theme="1"/>
      <name val="Calibri"/>
      <family val="2"/>
      <scheme val="minor"/>
    </font>
    <font>
      <sz val="8"/>
      <name val="Calibri"/>
      <family val="2"/>
      <scheme val="minor"/>
    </font>
    <font>
      <b/>
      <sz val="10"/>
      <color rgb="FFFFFFFF"/>
      <name val="Arial"/>
      <family val="2"/>
    </font>
    <font>
      <i/>
      <sz val="9"/>
      <color rgb="FF595959"/>
      <name val="Arial"/>
      <family val="2"/>
    </font>
    <font>
      <b/>
      <sz val="18"/>
      <color theme="1"/>
      <name val="Calibri"/>
      <family val="2"/>
      <scheme val="minor"/>
    </font>
    <font>
      <b/>
      <sz val="12"/>
      <color theme="1"/>
      <name val="Calibri"/>
      <family val="2"/>
      <scheme val="minor"/>
    </font>
    <font>
      <b/>
      <sz val="11"/>
      <color theme="0"/>
      <name val="Calibri"/>
      <family val="2"/>
      <scheme val="minor"/>
    </font>
    <font>
      <sz val="11"/>
      <color theme="0"/>
      <name val="Calibri"/>
      <family val="2"/>
      <scheme val="minor"/>
    </font>
    <font>
      <i/>
      <sz val="12"/>
      <color theme="1"/>
      <name val="Calibri"/>
      <family val="2"/>
      <scheme val="minor"/>
    </font>
    <font>
      <sz val="10"/>
      <color theme="1"/>
      <name val="Calibri"/>
      <family val="2"/>
      <scheme val="minor"/>
    </font>
    <font>
      <i/>
      <sz val="10"/>
      <color theme="1"/>
      <name val="Calibri"/>
      <family val="2"/>
      <scheme val="minor"/>
    </font>
    <font>
      <b/>
      <sz val="12"/>
      <color theme="0"/>
      <name val="Calibri"/>
      <family val="2"/>
      <scheme val="minor"/>
    </font>
    <font>
      <b/>
      <sz val="11"/>
      <color rgb="FFFFFFFF"/>
      <name val="Calibri"/>
      <family val="2"/>
      <scheme val="minor"/>
    </font>
    <font>
      <i/>
      <sz val="11"/>
      <color theme="1"/>
      <name val="Calibri"/>
      <family val="2"/>
      <scheme val="minor"/>
    </font>
    <font>
      <b/>
      <sz val="11"/>
      <color theme="0" tint="-4.9989318521683403E-2"/>
      <name val="Calibri"/>
      <family val="2"/>
      <scheme val="minor"/>
    </font>
    <font>
      <sz val="11"/>
      <color theme="0" tint="-4.9989318521683403E-2"/>
      <name val="Calibri"/>
      <family val="2"/>
      <scheme val="minor"/>
    </font>
  </fonts>
  <fills count="6">
    <fill>
      <patternFill patternType="none"/>
    </fill>
    <fill>
      <patternFill patternType="gray125"/>
    </fill>
    <fill>
      <patternFill patternType="solid">
        <fgColor theme="4" tint="0.79998168889431442"/>
        <bgColor indexed="64"/>
      </patternFill>
    </fill>
    <fill>
      <patternFill patternType="solid">
        <fgColor theme="8"/>
        <bgColor indexed="64"/>
      </patternFill>
    </fill>
    <fill>
      <patternFill patternType="solid">
        <fgColor theme="8"/>
        <bgColor rgb="FF333333"/>
      </patternFill>
    </fill>
    <fill>
      <patternFill patternType="solid">
        <fgColor rgb="FF00B0F0"/>
        <bgColor indexed="64"/>
      </patternFill>
    </fill>
  </fills>
  <borders count="5">
    <border>
      <left/>
      <right/>
      <top/>
      <bottom/>
      <diagonal/>
    </border>
    <border>
      <left/>
      <right/>
      <top/>
      <bottom style="double">
        <color indexed="64"/>
      </bottom>
      <diagonal/>
    </border>
    <border>
      <left/>
      <right/>
      <top/>
      <bottom style="thin">
        <color auto="1"/>
      </bottom>
      <diagonal/>
    </border>
    <border>
      <left/>
      <right/>
      <top style="thin">
        <color indexed="64"/>
      </top>
      <bottom/>
      <diagonal/>
    </border>
    <border>
      <left/>
      <right/>
      <top style="thin">
        <color indexed="64"/>
      </top>
      <bottom style="thin">
        <color auto="1"/>
      </bottom>
      <diagonal/>
    </border>
  </borders>
  <cellStyleXfs count="1">
    <xf numFmtId="0" fontId="0" fillId="0" borderId="0"/>
  </cellStyleXfs>
  <cellXfs count="45">
    <xf numFmtId="0" fontId="0" fillId="0" borderId="0" xfId="0"/>
    <xf numFmtId="0" fontId="1" fillId="0" borderId="0" xfId="0" applyFont="1"/>
    <xf numFmtId="0" fontId="4" fillId="0" borderId="0" xfId="0" applyFont="1"/>
    <xf numFmtId="0" fontId="0" fillId="0" borderId="0" xfId="0" applyAlignment="1">
      <alignment vertical="center" wrapText="1"/>
    </xf>
    <xf numFmtId="14" fontId="0" fillId="0" borderId="0" xfId="0" applyNumberFormat="1" applyAlignment="1">
      <alignment vertical="center" wrapText="1"/>
    </xf>
    <xf numFmtId="0" fontId="0" fillId="0" borderId="1" xfId="0" applyBorder="1" applyAlignment="1">
      <alignment vertical="center" wrapText="1"/>
    </xf>
    <xf numFmtId="14" fontId="0" fillId="0" borderId="1" xfId="0" applyNumberFormat="1" applyBorder="1" applyAlignment="1">
      <alignment vertical="center" wrapText="1"/>
    </xf>
    <xf numFmtId="0" fontId="0" fillId="2" borderId="0" xfId="0" applyFill="1" applyAlignment="1">
      <alignment vertical="center" wrapText="1"/>
    </xf>
    <xf numFmtId="14" fontId="0" fillId="2" borderId="0" xfId="0" applyNumberFormat="1" applyFill="1" applyAlignment="1">
      <alignment vertical="center" wrapText="1"/>
    </xf>
    <xf numFmtId="0" fontId="0" fillId="2" borderId="1" xfId="0" applyFill="1" applyBorder="1" applyAlignment="1">
      <alignment vertical="center" wrapText="1"/>
    </xf>
    <xf numFmtId="14" fontId="0" fillId="2" borderId="1" xfId="0" applyNumberFormat="1" applyFill="1" applyBorder="1" applyAlignment="1">
      <alignment vertical="center" wrapText="1"/>
    </xf>
    <xf numFmtId="164" fontId="0" fillId="2" borderId="1" xfId="0" applyNumberFormat="1" applyFill="1" applyBorder="1" applyAlignment="1">
      <alignment vertical="center" wrapText="1"/>
    </xf>
    <xf numFmtId="0" fontId="0" fillId="0" borderId="3" xfId="0" applyBorder="1"/>
    <xf numFmtId="0" fontId="0" fillId="0" borderId="1" xfId="0" applyBorder="1"/>
    <xf numFmtId="0" fontId="5" fillId="0" borderId="0" xfId="0" applyFont="1"/>
    <xf numFmtId="0" fontId="8" fillId="3" borderId="0" xfId="0" applyFont="1" applyFill="1"/>
    <xf numFmtId="0" fontId="7" fillId="3" borderId="3" xfId="0" applyFont="1" applyFill="1" applyBorder="1" applyAlignment="1">
      <alignment vertical="center" wrapText="1"/>
    </xf>
    <xf numFmtId="0" fontId="11" fillId="0" borderId="0" xfId="0" applyFont="1"/>
    <xf numFmtId="0" fontId="12" fillId="3" borderId="3" xfId="0" applyFont="1" applyFill="1" applyBorder="1"/>
    <xf numFmtId="0" fontId="0" fillId="3" borderId="3" xfId="0" applyFill="1" applyBorder="1"/>
    <xf numFmtId="0" fontId="10" fillId="0" borderId="0" xfId="0" applyFont="1"/>
    <xf numFmtId="0" fontId="10" fillId="0" borderId="1" xfId="0" applyFont="1" applyBorder="1"/>
    <xf numFmtId="0" fontId="12" fillId="3" borderId="0" xfId="0" applyFont="1" applyFill="1"/>
    <xf numFmtId="0" fontId="10" fillId="0" borderId="3" xfId="0" applyFont="1" applyBorder="1"/>
    <xf numFmtId="14" fontId="10" fillId="0" borderId="0" xfId="0" applyNumberFormat="1" applyFont="1"/>
    <xf numFmtId="49" fontId="10" fillId="0" borderId="0" xfId="0" applyNumberFormat="1" applyFont="1"/>
    <xf numFmtId="14" fontId="10" fillId="0" borderId="1" xfId="0" applyNumberFormat="1" applyFont="1" applyBorder="1"/>
    <xf numFmtId="49" fontId="10" fillId="0" borderId="1" xfId="0" applyNumberFormat="1" applyFont="1" applyBorder="1"/>
    <xf numFmtId="164" fontId="0" fillId="2" borderId="0" xfId="0" applyNumberFormat="1" applyFill="1" applyAlignment="1">
      <alignment vertical="center" wrapText="1"/>
    </xf>
    <xf numFmtId="0" fontId="3" fillId="4" borderId="3"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3" fillId="4" borderId="4" xfId="0" applyFont="1" applyFill="1" applyBorder="1" applyAlignment="1">
      <alignment horizontal="center" vertical="center" wrapText="1"/>
    </xf>
    <xf numFmtId="0" fontId="13" fillId="4" borderId="3" xfId="0" applyFont="1" applyFill="1" applyBorder="1" applyAlignment="1">
      <alignment horizontal="center" vertical="center" wrapText="1"/>
    </xf>
    <xf numFmtId="14" fontId="0" fillId="0" borderId="0" xfId="0" applyNumberFormat="1"/>
    <xf numFmtId="49" fontId="0" fillId="0" borderId="0" xfId="0" applyNumberFormat="1" applyAlignment="1">
      <alignment vertical="center" wrapText="1"/>
    </xf>
    <xf numFmtId="14" fontId="0" fillId="0" borderId="1" xfId="0" applyNumberFormat="1" applyBorder="1"/>
    <xf numFmtId="49" fontId="0" fillId="0" borderId="1" xfId="0" applyNumberFormat="1" applyBorder="1" applyAlignment="1">
      <alignment vertical="center" wrapText="1"/>
    </xf>
    <xf numFmtId="0" fontId="9" fillId="0" borderId="0" xfId="0" applyFont="1"/>
    <xf numFmtId="0" fontId="6" fillId="0" borderId="0" xfId="0" applyFont="1" applyAlignment="1">
      <alignment vertical="center"/>
    </xf>
    <xf numFmtId="0" fontId="6" fillId="0" borderId="0" xfId="0" applyFont="1"/>
    <xf numFmtId="0" fontId="14" fillId="0" borderId="0" xfId="0" applyFont="1"/>
    <xf numFmtId="0" fontId="5" fillId="0" borderId="0" xfId="0" applyFont="1" applyAlignment="1">
      <alignment horizontal="left"/>
    </xf>
    <xf numFmtId="0" fontId="11" fillId="0" borderId="0" xfId="0" applyFont="1" applyAlignment="1">
      <alignment vertical="center"/>
    </xf>
    <xf numFmtId="0" fontId="15" fillId="5" borderId="3" xfId="0" applyFont="1" applyFill="1" applyBorder="1"/>
    <xf numFmtId="0" fontId="16" fillId="5" borderId="3"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6867A-573A-4943-B415-778E1FAD7460}">
  <dimension ref="A1:A45"/>
  <sheetViews>
    <sheetView zoomScale="106" zoomScaleNormal="106" workbookViewId="0">
      <selection activeCell="A2" sqref="A2"/>
    </sheetView>
  </sheetViews>
  <sheetFormatPr defaultRowHeight="15" x14ac:dyDescent="0.25"/>
  <cols>
    <col min="1" max="1" width="169" customWidth="1"/>
  </cols>
  <sheetData>
    <row r="1" spans="1:1" ht="21.75" customHeight="1" x14ac:dyDescent="0.35">
      <c r="A1" s="14" t="s">
        <v>108</v>
      </c>
    </row>
    <row r="2" spans="1:1" ht="15" customHeight="1" x14ac:dyDescent="0.25">
      <c r="A2" s="37" t="s">
        <v>109</v>
      </c>
    </row>
    <row r="3" spans="1:1" ht="15" customHeight="1" x14ac:dyDescent="0.25">
      <c r="A3" s="37"/>
    </row>
    <row r="4" spans="1:1" ht="15" customHeight="1" x14ac:dyDescent="0.25">
      <c r="A4" t="s">
        <v>141</v>
      </c>
    </row>
    <row r="6" spans="1:1" ht="18" customHeight="1" x14ac:dyDescent="0.25">
      <c r="A6" s="1" t="s">
        <v>110</v>
      </c>
    </row>
    <row r="7" spans="1:1" ht="16.5" customHeight="1" x14ac:dyDescent="0.25">
      <c r="A7" t="s">
        <v>117</v>
      </c>
    </row>
    <row r="8" spans="1:1" ht="16.5" customHeight="1" x14ac:dyDescent="0.25"/>
    <row r="9" spans="1:1" ht="16.5" customHeight="1" x14ac:dyDescent="0.25">
      <c r="A9" s="1" t="s">
        <v>118</v>
      </c>
    </row>
    <row r="10" spans="1:1" ht="16.5" customHeight="1" x14ac:dyDescent="0.25">
      <c r="A10" t="s">
        <v>119</v>
      </c>
    </row>
    <row r="11" spans="1:1" ht="16.5" customHeight="1" x14ac:dyDescent="0.25"/>
    <row r="12" spans="1:1" ht="16.5" customHeight="1" x14ac:dyDescent="0.25">
      <c r="A12" s="1" t="s">
        <v>120</v>
      </c>
    </row>
    <row r="13" spans="1:1" x14ac:dyDescent="0.25">
      <c r="A13" t="s">
        <v>121</v>
      </c>
    </row>
    <row r="15" spans="1:1" x14ac:dyDescent="0.25">
      <c r="A15" s="1" t="s">
        <v>122</v>
      </c>
    </row>
    <row r="16" spans="1:1" ht="17.25" customHeight="1" x14ac:dyDescent="0.25">
      <c r="A16" t="s">
        <v>123</v>
      </c>
    </row>
    <row r="17" spans="1:1" x14ac:dyDescent="0.25">
      <c r="A17" t="s">
        <v>124</v>
      </c>
    </row>
    <row r="18" spans="1:1" x14ac:dyDescent="0.25">
      <c r="A18" t="s">
        <v>125</v>
      </c>
    </row>
    <row r="19" spans="1:1" x14ac:dyDescent="0.25">
      <c r="A19" t="s">
        <v>126</v>
      </c>
    </row>
    <row r="21" spans="1:1" ht="18.75" customHeight="1" x14ac:dyDescent="0.25">
      <c r="A21" s="1" t="s">
        <v>128</v>
      </c>
    </row>
    <row r="22" spans="1:1" ht="15.75" customHeight="1" x14ac:dyDescent="0.25">
      <c r="A22" t="s">
        <v>127</v>
      </c>
    </row>
    <row r="23" spans="1:1" ht="15.75" customHeight="1" x14ac:dyDescent="0.25"/>
    <row r="24" spans="1:1" x14ac:dyDescent="0.25">
      <c r="A24" s="1" t="s">
        <v>111</v>
      </c>
    </row>
    <row r="25" spans="1:1" x14ac:dyDescent="0.25">
      <c r="A25" t="s">
        <v>115</v>
      </c>
    </row>
    <row r="26" spans="1:1" x14ac:dyDescent="0.25">
      <c r="A26" t="s">
        <v>116</v>
      </c>
    </row>
    <row r="27" spans="1:1" x14ac:dyDescent="0.25">
      <c r="A27" t="s">
        <v>129</v>
      </c>
    </row>
    <row r="28" spans="1:1" x14ac:dyDescent="0.25">
      <c r="A28" t="s">
        <v>130</v>
      </c>
    </row>
    <row r="29" spans="1:1" x14ac:dyDescent="0.25">
      <c r="A29" t="s">
        <v>131</v>
      </c>
    </row>
    <row r="31" spans="1:1" ht="19.5" customHeight="1" x14ac:dyDescent="0.25">
      <c r="A31" s="1" t="s">
        <v>112</v>
      </c>
    </row>
    <row r="32" spans="1:1" ht="15.75" customHeight="1" x14ac:dyDescent="0.25">
      <c r="A32" t="s">
        <v>132</v>
      </c>
    </row>
    <row r="33" spans="1:1" ht="16.5" customHeight="1" x14ac:dyDescent="0.25">
      <c r="A33" t="s">
        <v>133</v>
      </c>
    </row>
    <row r="34" spans="1:1" ht="15.75" customHeight="1" x14ac:dyDescent="0.25">
      <c r="A34" t="s">
        <v>134</v>
      </c>
    </row>
    <row r="35" spans="1:1" ht="16.5" customHeight="1" x14ac:dyDescent="0.25">
      <c r="A35" t="s">
        <v>135</v>
      </c>
    </row>
    <row r="37" spans="1:1" x14ac:dyDescent="0.25">
      <c r="A37" s="1" t="s">
        <v>136</v>
      </c>
    </row>
    <row r="38" spans="1:1" x14ac:dyDescent="0.25">
      <c r="A38" t="s">
        <v>137</v>
      </c>
    </row>
    <row r="39" spans="1:1" x14ac:dyDescent="0.25">
      <c r="A39" t="s">
        <v>138</v>
      </c>
    </row>
    <row r="41" spans="1:1" ht="15.75" customHeight="1" x14ac:dyDescent="0.25">
      <c r="A41" s="1" t="s">
        <v>113</v>
      </c>
    </row>
    <row r="42" spans="1:1" ht="16.5" customHeight="1" x14ac:dyDescent="0.25">
      <c r="A42" t="s">
        <v>139</v>
      </c>
    </row>
    <row r="44" spans="1:1" ht="15.75" customHeight="1" x14ac:dyDescent="0.25">
      <c r="A44" s="1" t="s">
        <v>114</v>
      </c>
    </row>
    <row r="45" spans="1:1" ht="19.5" customHeight="1" x14ac:dyDescent="0.25">
      <c r="A45" t="s">
        <v>140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5CA01-57FD-4657-9AB0-4D38BFF96FEE}">
  <dimension ref="A1:F33"/>
  <sheetViews>
    <sheetView topLeftCell="A7" workbookViewId="0">
      <selection activeCell="A24" sqref="A24"/>
    </sheetView>
  </sheetViews>
  <sheetFormatPr defaultRowHeight="15" x14ac:dyDescent="0.25"/>
  <cols>
    <col min="1" max="1" width="25.85546875" customWidth="1"/>
    <col min="2" max="2" width="17.85546875" customWidth="1"/>
    <col min="4" max="4" width="15.5703125" customWidth="1"/>
    <col min="5" max="5" width="17.140625" customWidth="1"/>
    <col min="6" max="6" width="13.5703125" customWidth="1"/>
  </cols>
  <sheetData>
    <row r="1" spans="1:2" ht="23.25" x14ac:dyDescent="0.35">
      <c r="A1" s="41" t="s">
        <v>90</v>
      </c>
    </row>
    <row r="2" spans="1:2" ht="15.75" x14ac:dyDescent="0.25">
      <c r="A2" s="37" t="s">
        <v>91</v>
      </c>
    </row>
    <row r="3" spans="1:2" x14ac:dyDescent="0.25">
      <c r="A3" s="17"/>
    </row>
    <row r="4" spans="1:2" x14ac:dyDescent="0.25">
      <c r="A4" s="40" t="s">
        <v>142</v>
      </c>
    </row>
    <row r="6" spans="1:2" ht="15.75" x14ac:dyDescent="0.25">
      <c r="A6" s="18" t="s">
        <v>92</v>
      </c>
      <c r="B6" s="19"/>
    </row>
    <row r="7" spans="1:2" x14ac:dyDescent="0.25">
      <c r="A7" t="s">
        <v>93</v>
      </c>
      <c r="B7" s="20">
        <f>COUNTA('Model Inventory'!A2:A7)</f>
        <v>6</v>
      </c>
    </row>
    <row r="8" spans="1:2" x14ac:dyDescent="0.25">
      <c r="A8" t="s">
        <v>94</v>
      </c>
      <c r="B8" s="20">
        <f>COUNTIF('Model Inventory'!F2:F7,"Tier 1")</f>
        <v>4</v>
      </c>
    </row>
    <row r="9" spans="1:2" x14ac:dyDescent="0.25">
      <c r="A9" t="s">
        <v>95</v>
      </c>
      <c r="B9" s="20">
        <f>COUNTIF('Model Inventory'!F2:F7,"Tier 2")</f>
        <v>1</v>
      </c>
    </row>
    <row r="10" spans="1:2" x14ac:dyDescent="0.25">
      <c r="A10" t="s">
        <v>96</v>
      </c>
      <c r="B10" s="20">
        <f>COUNTIF('Model Inventory'!F2:F7,"Tier 3")</f>
        <v>1</v>
      </c>
    </row>
    <row r="11" spans="1:2" x14ac:dyDescent="0.25">
      <c r="A11" t="s">
        <v>97</v>
      </c>
      <c r="B11" s="20">
        <f>COUNTIF('Model Inventory'!G2:G7,"Not Approved") + COUNTIF('Model Inventory'!G2:G7,"Conditionally Approved")</f>
        <v>2</v>
      </c>
    </row>
    <row r="12" spans="1:2" x14ac:dyDescent="0.25">
      <c r="A12" t="s">
        <v>98</v>
      </c>
      <c r="B12" s="20">
        <f ca="1">COUNTIF('Review Calendar'!H2:H7,"OVERDUE")</f>
        <v>2</v>
      </c>
    </row>
    <row r="13" spans="1:2" ht="15.75" thickBot="1" x14ac:dyDescent="0.3">
      <c r="A13" s="13" t="s">
        <v>99</v>
      </c>
      <c r="B13" s="21">
        <f ca="1">COUNTIF('Review Calendar'!H2:H7,"Due Soon")</f>
        <v>1</v>
      </c>
    </row>
    <row r="14" spans="1:2" ht="15.75" thickTop="1" x14ac:dyDescent="0.25">
      <c r="B14" s="20"/>
    </row>
    <row r="15" spans="1:2" x14ac:dyDescent="0.25">
      <c r="A15" s="40" t="s">
        <v>148</v>
      </c>
      <c r="B15" s="20"/>
    </row>
    <row r="16" spans="1:2" x14ac:dyDescent="0.25">
      <c r="A16" s="40" t="s">
        <v>149</v>
      </c>
      <c r="B16" s="20"/>
    </row>
    <row r="18" spans="1:6" ht="15.75" x14ac:dyDescent="0.25">
      <c r="A18" s="22" t="s">
        <v>100</v>
      </c>
      <c r="B18" s="15"/>
    </row>
    <row r="19" spans="1:6" x14ac:dyDescent="0.25">
      <c r="A19" s="12" t="s">
        <v>101</v>
      </c>
      <c r="B19" s="23">
        <f>COUNTIFS('Findings Log'!E2:E15,"High",'Findings Log'!H2:H15,"&lt;&gt;Closed")</f>
        <v>4</v>
      </c>
    </row>
    <row r="20" spans="1:6" x14ac:dyDescent="0.25">
      <c r="A20" t="s">
        <v>102</v>
      </c>
      <c r="B20" s="20">
        <f>COUNTIFS('Findings Log'!E2:E15,"Medium",'Findings Log'!H2:H15,"&lt;&gt;Closed")</f>
        <v>3</v>
      </c>
    </row>
    <row r="21" spans="1:6" x14ac:dyDescent="0.25">
      <c r="A21" t="s">
        <v>103</v>
      </c>
      <c r="B21" s="20">
        <f>COUNTIFS('Findings Log'!E2:E15,"Low",'Findings Log'!H2:H15,"&lt;&gt;Closed")</f>
        <v>0</v>
      </c>
    </row>
    <row r="22" spans="1:6" ht="15.75" thickBot="1" x14ac:dyDescent="0.3">
      <c r="A22" s="13" t="s">
        <v>104</v>
      </c>
      <c r="B22" s="21">
        <f>COUNTIF('Findings Log'!H2:H15,"Closed")</f>
        <v>1</v>
      </c>
    </row>
    <row r="23" spans="1:6" ht="15.75" thickTop="1" x14ac:dyDescent="0.25">
      <c r="B23" s="20"/>
    </row>
    <row r="24" spans="1:6" x14ac:dyDescent="0.25">
      <c r="A24" s="40" t="s">
        <v>143</v>
      </c>
      <c r="B24" s="20"/>
    </row>
    <row r="26" spans="1:6" ht="21" customHeight="1" x14ac:dyDescent="0.25">
      <c r="A26" s="16" t="s">
        <v>105</v>
      </c>
      <c r="B26" s="16" t="s">
        <v>64</v>
      </c>
      <c r="C26" s="16" t="s">
        <v>0</v>
      </c>
      <c r="D26" s="16" t="s">
        <v>106</v>
      </c>
      <c r="E26" s="16" t="s">
        <v>89</v>
      </c>
      <c r="F26" s="16" t="s">
        <v>107</v>
      </c>
    </row>
    <row r="27" spans="1:6" x14ac:dyDescent="0.25">
      <c r="A27" s="20" t="str">
        <f>'Review Calendar'!B2</f>
        <v>Lending Club Credit Risk</v>
      </c>
      <c r="B27" s="20" t="str">
        <f>'Review Calendar'!C2</f>
        <v>Credit Risk Dept</v>
      </c>
      <c r="C27" s="20" t="str">
        <f>'Review Calendar'!D2</f>
        <v>Tier 1</v>
      </c>
      <c r="D27" s="24">
        <f>'Review Calendar'!F2</f>
        <v>46635</v>
      </c>
      <c r="E27" s="25" t="str">
        <f ca="1">'Review Calendar'!H2</f>
        <v>On Track</v>
      </c>
      <c r="F27" s="20">
        <f>'Review Calendar'!I2</f>
        <v>7</v>
      </c>
    </row>
    <row r="28" spans="1:6" x14ac:dyDescent="0.25">
      <c r="A28" s="20" t="str">
        <f>'Review Calendar'!B3</f>
        <v>Fannie Mae IFRS 9 ECL</v>
      </c>
      <c r="B28" s="20" t="str">
        <f>'Review Calendar'!C3</f>
        <v>Credit Risk Dept</v>
      </c>
      <c r="C28" s="20" t="str">
        <f>'Review Calendar'!D3</f>
        <v>Tier 1</v>
      </c>
      <c r="D28" s="24">
        <f>'Review Calendar'!F3</f>
        <v>46635</v>
      </c>
      <c r="E28" s="25" t="str">
        <f ca="1">'Review Calendar'!H3</f>
        <v>On Track</v>
      </c>
      <c r="F28" s="20">
        <f>'Review Calendar'!I3</f>
        <v>0</v>
      </c>
    </row>
    <row r="29" spans="1:6" x14ac:dyDescent="0.25">
      <c r="A29" s="20" t="str">
        <f>'Review Calendar'!B4</f>
        <v>AML Transaction Monitoring</v>
      </c>
      <c r="B29" s="20" t="str">
        <f>'Review Calendar'!C4</f>
        <v>Compliance</v>
      </c>
      <c r="C29" s="20" t="str">
        <f>'Review Calendar'!D4</f>
        <v>Tier 1</v>
      </c>
      <c r="D29" s="24">
        <f>'Review Calendar'!F4</f>
        <v>46183</v>
      </c>
      <c r="E29" s="25" t="str">
        <f ca="1">'Review Calendar'!H4</f>
        <v>OVERDUE</v>
      </c>
      <c r="F29" s="20">
        <f>'Review Calendar'!I4</f>
        <v>0</v>
      </c>
    </row>
    <row r="30" spans="1:6" x14ac:dyDescent="0.25">
      <c r="A30" s="20" t="str">
        <f>'Review Calendar'!B5</f>
        <v>Market Risk VaR</v>
      </c>
      <c r="B30" s="20" t="str">
        <f>'Review Calendar'!C5</f>
        <v>Trading</v>
      </c>
      <c r="C30" s="20" t="str">
        <f>'Review Calendar'!D5</f>
        <v>Tier 1</v>
      </c>
      <c r="D30" s="24">
        <f>'Review Calendar'!F5</f>
        <v>46407</v>
      </c>
      <c r="E30" s="25" t="str">
        <f ca="1">'Review Calendar'!H5</f>
        <v>On Track</v>
      </c>
      <c r="F30" s="20">
        <f>'Review Calendar'!I5</f>
        <v>0</v>
      </c>
    </row>
    <row r="31" spans="1:6" x14ac:dyDescent="0.25">
      <c r="A31" s="20" t="str">
        <f>'Review Calendar'!B6</f>
        <v>SME Credit Scoring</v>
      </c>
      <c r="B31" s="20" t="str">
        <f>'Review Calendar'!C6</f>
        <v>Credit Risk Dept</v>
      </c>
      <c r="C31" s="20" t="str">
        <f>'Review Calendar'!D6</f>
        <v>Tier 2</v>
      </c>
      <c r="D31" s="24">
        <f>'Review Calendar'!F6</f>
        <v>46341</v>
      </c>
      <c r="E31" s="25" t="str">
        <f ca="1">'Review Calendar'!H6</f>
        <v>Due Soon</v>
      </c>
      <c r="F31" s="20">
        <f>'Review Calendar'!I6</f>
        <v>0</v>
      </c>
    </row>
    <row r="32" spans="1:6" ht="15.75" thickBot="1" x14ac:dyDescent="0.3">
      <c r="A32" s="21" t="str">
        <f>'Review Calendar'!B7</f>
        <v>Operational Risk Capital</v>
      </c>
      <c r="B32" s="21" t="str">
        <f>'Review Calendar'!C7</f>
        <v>Risk</v>
      </c>
      <c r="C32" s="21" t="str">
        <f>'Review Calendar'!D7</f>
        <v>Tier 3</v>
      </c>
      <c r="D32" s="26">
        <f>'Review Calendar'!F7</f>
        <v>46204</v>
      </c>
      <c r="E32" s="27" t="str">
        <f ca="1">'Review Calendar'!H7</f>
        <v>OVERDUE</v>
      </c>
      <c r="F32" s="21">
        <f>'Review Calendar'!I7</f>
        <v>0</v>
      </c>
    </row>
    <row r="33" ht="15.75" thickTop="1"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8EF65-0375-4371-9737-8D2E30D9FE80}">
  <dimension ref="A1:K12"/>
  <sheetViews>
    <sheetView tabSelected="1" workbookViewId="0">
      <pane ySplit="1" topLeftCell="A2" activePane="bottomLeft" state="frozen"/>
      <selection pane="bottomLeft" activeCell="A10" sqref="A10"/>
    </sheetView>
  </sheetViews>
  <sheetFormatPr defaultRowHeight="15" x14ac:dyDescent="0.25"/>
  <cols>
    <col min="2" max="2" width="28.85546875" customWidth="1"/>
    <col min="3" max="3" width="43.140625" customWidth="1"/>
    <col min="4" max="4" width="15.140625" customWidth="1"/>
    <col min="5" max="5" width="33.42578125" customWidth="1"/>
    <col min="7" max="7" width="18.5703125" customWidth="1"/>
    <col min="8" max="8" width="13" customWidth="1"/>
    <col min="9" max="11" width="14.140625" customWidth="1"/>
  </cols>
  <sheetData>
    <row r="1" spans="1:11" ht="38.25" x14ac:dyDescent="0.25">
      <c r="A1" s="29" t="s">
        <v>30</v>
      </c>
      <c r="B1" s="29" t="s">
        <v>31</v>
      </c>
      <c r="C1" s="29" t="s">
        <v>38</v>
      </c>
      <c r="D1" s="29" t="s">
        <v>32</v>
      </c>
      <c r="E1" s="29" t="s">
        <v>39</v>
      </c>
      <c r="F1" s="29" t="s">
        <v>0</v>
      </c>
      <c r="G1" s="29" t="s">
        <v>8</v>
      </c>
      <c r="H1" s="29" t="s">
        <v>33</v>
      </c>
      <c r="I1" s="29" t="s">
        <v>2</v>
      </c>
      <c r="J1" s="29" t="s">
        <v>40</v>
      </c>
      <c r="K1" s="29" t="s">
        <v>41</v>
      </c>
    </row>
    <row r="2" spans="1:11" ht="16.5" customHeight="1" x14ac:dyDescent="0.25">
      <c r="A2" s="7" t="s">
        <v>42</v>
      </c>
      <c r="B2" s="7" t="s">
        <v>43</v>
      </c>
      <c r="C2" s="7" t="s">
        <v>44</v>
      </c>
      <c r="D2" s="7" t="s">
        <v>45</v>
      </c>
      <c r="E2" s="7" t="s">
        <v>46</v>
      </c>
      <c r="F2" s="7" t="s">
        <v>3</v>
      </c>
      <c r="G2" s="7" t="s">
        <v>11</v>
      </c>
      <c r="H2" s="28">
        <v>46270</v>
      </c>
      <c r="I2" s="3">
        <f t="shared" ref="I2:I7" si="0">IF(F2="Tier 1", 12, IF(F2="Tier 2", 18, IF(F2="Tier 3", 24, 0)))</f>
        <v>12</v>
      </c>
      <c r="J2" s="4">
        <f>EDATE(H2, I2)</f>
        <v>46635</v>
      </c>
      <c r="K2" s="3">
        <f>COUNTIFS('Findings Log'!$B$2:$B$98, A2,
          'Findings Log'!$H$2:$H$98, "&lt;&gt;Closed",
          'Findings Log'!$E$2:$E$98, "High")
 + COUNTIFS('Findings Log'!$B$2:$B$98, A2,
            'Findings Log'!$H$2:$H$98, "&lt;&gt;Closed",
            'Findings Log'!$E$2:$E$98, "Medium")</f>
        <v>7</v>
      </c>
    </row>
    <row r="3" spans="1:11" ht="15" customHeight="1" x14ac:dyDescent="0.25">
      <c r="A3" s="7" t="s">
        <v>47</v>
      </c>
      <c r="B3" s="7" t="s">
        <v>48</v>
      </c>
      <c r="C3" s="7" t="s">
        <v>49</v>
      </c>
      <c r="D3" s="7" t="s">
        <v>45</v>
      </c>
      <c r="E3" s="7" t="s">
        <v>46</v>
      </c>
      <c r="F3" s="7" t="s">
        <v>3</v>
      </c>
      <c r="G3" s="7" t="s">
        <v>10</v>
      </c>
      <c r="H3" s="28">
        <v>46270</v>
      </c>
      <c r="I3" s="3">
        <f t="shared" si="0"/>
        <v>12</v>
      </c>
      <c r="J3" s="4">
        <f t="shared" ref="J3:J7" si="1">EDATE(H3, I3)</f>
        <v>46635</v>
      </c>
      <c r="K3" s="3">
        <f>COUNTIFS('Findings Log'!$B$2:$B$98, A3,
          'Findings Log'!$H$2:$H$98, "&lt;&gt;Closed",
          'Findings Log'!$E$2:$E$98, "High")
 + COUNTIFS('Findings Log'!$B$2:$B$98, A3,
            'Findings Log'!$H$2:$H$98, "&lt;&gt;Closed",
            'Findings Log'!$E$2:$E$98, "Medium")</f>
        <v>0</v>
      </c>
    </row>
    <row r="4" spans="1:11" x14ac:dyDescent="0.25">
      <c r="A4" s="7" t="s">
        <v>50</v>
      </c>
      <c r="B4" s="7" t="s">
        <v>54</v>
      </c>
      <c r="C4" s="7" t="s">
        <v>55</v>
      </c>
      <c r="D4" s="7" t="s">
        <v>56</v>
      </c>
      <c r="E4" s="7" t="s">
        <v>46</v>
      </c>
      <c r="F4" s="7" t="s">
        <v>3</v>
      </c>
      <c r="G4" s="7" t="s">
        <v>9</v>
      </c>
      <c r="H4" s="28">
        <v>45818</v>
      </c>
      <c r="I4" s="3">
        <f t="shared" si="0"/>
        <v>12</v>
      </c>
      <c r="J4" s="4">
        <f t="shared" si="1"/>
        <v>46183</v>
      </c>
      <c r="K4" s="3">
        <f>COUNTIFS('Findings Log'!$B$2:$B$98, A4,
          'Findings Log'!$H$2:$H$98, "&lt;&gt;Closed",
          'Findings Log'!$E$2:$E$98, "High")
 + COUNTIFS('Findings Log'!$B$2:$B$98, A4,
            'Findings Log'!$H$2:$H$98, "&lt;&gt;Closed",
            'Findings Log'!$E$2:$E$98, "Medium")</f>
        <v>0</v>
      </c>
    </row>
    <row r="5" spans="1:11" x14ac:dyDescent="0.25">
      <c r="A5" s="7" t="s">
        <v>51</v>
      </c>
      <c r="B5" s="7" t="s">
        <v>35</v>
      </c>
      <c r="C5" s="7" t="s">
        <v>57</v>
      </c>
      <c r="D5" s="7" t="s">
        <v>36</v>
      </c>
      <c r="E5" s="7" t="s">
        <v>46</v>
      </c>
      <c r="F5" s="7" t="s">
        <v>3</v>
      </c>
      <c r="G5" s="7" t="s">
        <v>9</v>
      </c>
      <c r="H5" s="28">
        <v>46042</v>
      </c>
      <c r="I5" s="3">
        <f t="shared" si="0"/>
        <v>12</v>
      </c>
      <c r="J5" s="4">
        <f t="shared" si="1"/>
        <v>46407</v>
      </c>
      <c r="K5" s="3">
        <f>COUNTIFS('Findings Log'!$B$2:$B$98, A5,
          'Findings Log'!$H$2:$H$98, "&lt;&gt;Closed",
          'Findings Log'!$E$2:$E$98, "High")
 + COUNTIFS('Findings Log'!$B$2:$B$98, A5,
            'Findings Log'!$H$2:$H$98, "&lt;&gt;Closed",
            'Findings Log'!$E$2:$E$98, "Medium")</f>
        <v>0</v>
      </c>
    </row>
    <row r="6" spans="1:11" ht="18" customHeight="1" x14ac:dyDescent="0.25">
      <c r="A6" s="7" t="s">
        <v>52</v>
      </c>
      <c r="B6" s="7" t="s">
        <v>58</v>
      </c>
      <c r="C6" s="7" t="s">
        <v>59</v>
      </c>
      <c r="D6" s="7" t="s">
        <v>45</v>
      </c>
      <c r="E6" s="7" t="s">
        <v>46</v>
      </c>
      <c r="F6" s="7" t="s">
        <v>4</v>
      </c>
      <c r="G6" s="7" t="s">
        <v>9</v>
      </c>
      <c r="H6" s="28">
        <v>45792</v>
      </c>
      <c r="I6" s="3">
        <f t="shared" si="0"/>
        <v>18</v>
      </c>
      <c r="J6" s="4">
        <f t="shared" si="1"/>
        <v>46341</v>
      </c>
      <c r="K6" s="3">
        <f>COUNTIFS('Findings Log'!$B$2:$B$98, A6,
          'Findings Log'!$H$2:$H$98, "&lt;&gt;Closed",
          'Findings Log'!$E$2:$E$98, "High")
 + COUNTIFS('Findings Log'!$B$2:$B$98, A6,
            'Findings Log'!$H$2:$H$98, "&lt;&gt;Closed",
            'Findings Log'!$E$2:$E$98, "Medium")</f>
        <v>0</v>
      </c>
    </row>
    <row r="7" spans="1:11" ht="15.75" thickBot="1" x14ac:dyDescent="0.3">
      <c r="A7" s="9" t="s">
        <v>53</v>
      </c>
      <c r="B7" s="9" t="s">
        <v>60</v>
      </c>
      <c r="C7" s="9" t="s">
        <v>61</v>
      </c>
      <c r="D7" s="9" t="s">
        <v>34</v>
      </c>
      <c r="E7" s="9" t="s">
        <v>46</v>
      </c>
      <c r="F7" s="9" t="s">
        <v>5</v>
      </c>
      <c r="G7" s="9" t="s">
        <v>9</v>
      </c>
      <c r="H7" s="11">
        <v>45474</v>
      </c>
      <c r="I7" s="5">
        <f t="shared" si="0"/>
        <v>24</v>
      </c>
      <c r="J7" s="6">
        <f t="shared" si="1"/>
        <v>46204</v>
      </c>
      <c r="K7" s="5">
        <f>COUNTIFS('Findings Log'!$B$2:$B$98, A7,
          'Findings Log'!$H$2:$H$98, "&lt;&gt;Closed",
          'Findings Log'!$E$2:$E$98, "High")
 + COUNTIFS('Findings Log'!$B$2:$B$98, A7,
            'Findings Log'!$H$2:$H$98, "&lt;&gt;Closed",
            'Findings Log'!$E$2:$E$98, "Medium")</f>
        <v>0</v>
      </c>
    </row>
    <row r="8" spans="1:11" ht="15.75" thickTop="1" x14ac:dyDescent="0.25"/>
    <row r="9" spans="1:11" ht="15.75" x14ac:dyDescent="0.25">
      <c r="A9" s="38" t="s">
        <v>144</v>
      </c>
    </row>
    <row r="10" spans="1:11" x14ac:dyDescent="0.25">
      <c r="A10" s="42" t="s">
        <v>145</v>
      </c>
    </row>
    <row r="12" spans="1:11" x14ac:dyDescent="0.25">
      <c r="A12" s="2" t="s">
        <v>37</v>
      </c>
    </row>
  </sheetData>
  <phoneticPr fontId="2" type="noConversion"/>
  <dataValidations count="4">
    <dataValidation type="list" allowBlank="1" showInputMessage="1" showErrorMessage="1" sqref="C2" xr:uid="{6BF00431-29CC-4EDA-B122-2ECCFFC821DB}">
      <formula1>$C$2:$C$7</formula1>
    </dataValidation>
    <dataValidation type="list" allowBlank="1" showInputMessage="1" showErrorMessage="1" error="Please select a valid risk tier." sqref="F2:F7" xr:uid="{07FB2620-3914-4233-AAB4-3993F45DA0A2}">
      <formula1>$F$2:$F$7</formula1>
    </dataValidation>
    <dataValidation type="list" allowBlank="1" showInputMessage="1" showErrorMessage="1" error="Please select a valid status" sqref="G2:G7" xr:uid="{71563831-1E58-4B48-99F9-59C3B6A9A1F7}">
      <formula1>$G$2:$G$7</formula1>
    </dataValidation>
    <dataValidation type="list" allowBlank="1" sqref="G12" xr:uid="{5674085C-0216-40B0-9323-6D92C28B34B2}">
      <formula1>"Validated,Conditionally Approved,Not Approved,In Validation"</formula1>
      <formula2>0</formula2>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7F8DB-EB5C-4056-8C8A-04254FC9BA00}">
  <dimension ref="A1:K14"/>
  <sheetViews>
    <sheetView workbookViewId="0">
      <pane ySplit="1" topLeftCell="A2" activePane="bottomLeft" state="frozen"/>
      <selection activeCell="C1" sqref="C1"/>
      <selection pane="bottomLeft" activeCell="A12" sqref="A11:A12"/>
    </sheetView>
  </sheetViews>
  <sheetFormatPr defaultRowHeight="15" x14ac:dyDescent="0.25"/>
  <cols>
    <col min="1" max="1" width="10.85546875" customWidth="1"/>
    <col min="3" max="3" width="23.42578125" customWidth="1"/>
    <col min="4" max="4" width="54" customWidth="1"/>
    <col min="6" max="6" width="15.140625" customWidth="1"/>
    <col min="7" max="7" width="21.42578125" customWidth="1"/>
    <col min="8" max="8" width="14.5703125" customWidth="1"/>
    <col min="9" max="9" width="13.85546875" customWidth="1"/>
    <col min="10" max="10" width="11.28515625" customWidth="1"/>
    <col min="11" max="11" width="10.85546875" customWidth="1"/>
  </cols>
  <sheetData>
    <row r="1" spans="1:11" x14ac:dyDescent="0.25">
      <c r="A1" s="30" t="s">
        <v>62</v>
      </c>
      <c r="B1" s="30" t="s">
        <v>30</v>
      </c>
      <c r="C1" s="31" t="s">
        <v>31</v>
      </c>
      <c r="D1" s="31" t="s">
        <v>63</v>
      </c>
      <c r="E1" s="31" t="s">
        <v>13</v>
      </c>
      <c r="F1" s="31" t="s">
        <v>66</v>
      </c>
      <c r="G1" s="31" t="s">
        <v>64</v>
      </c>
      <c r="H1" s="31" t="s">
        <v>18</v>
      </c>
      <c r="I1" s="31" t="s">
        <v>67</v>
      </c>
      <c r="J1" s="31" t="s">
        <v>68</v>
      </c>
      <c r="K1" s="31" t="s">
        <v>69</v>
      </c>
    </row>
    <row r="2" spans="1:11" ht="18" customHeight="1" x14ac:dyDescent="0.25">
      <c r="A2" s="7" t="s">
        <v>70</v>
      </c>
      <c r="B2" s="7" t="s">
        <v>42</v>
      </c>
      <c r="C2" s="3" t="str">
        <f>IFERROR(INDEX('Model Inventory'!$B:$B, MATCH($B2, 'Model Inventory'!$A:$A, 0)), "Model Not Found")</f>
        <v>Lending Club Credit Risk</v>
      </c>
      <c r="D2" s="7" t="s">
        <v>71</v>
      </c>
      <c r="E2" s="7" t="s">
        <v>14</v>
      </c>
      <c r="F2" s="8">
        <v>46270</v>
      </c>
      <c r="G2" s="7" t="s">
        <v>72</v>
      </c>
      <c r="H2" s="7" t="s">
        <v>19</v>
      </c>
      <c r="I2" s="8">
        <v>46361</v>
      </c>
      <c r="J2">
        <f t="shared" ref="J2:J9" ca="1" si="0">IF(H2="Closed", "", TODAY()-F2)</f>
        <v>52</v>
      </c>
      <c r="K2" t="str">
        <f ca="1">IF(H2="Closed", "No", IF(TODAY()&gt;I2, "Yes", "No"))</f>
        <v>No</v>
      </c>
    </row>
    <row r="3" spans="1:11" ht="20.25" customHeight="1" x14ac:dyDescent="0.25">
      <c r="A3" s="7" t="s">
        <v>73</v>
      </c>
      <c r="B3" s="7" t="s">
        <v>42</v>
      </c>
      <c r="C3" s="3" t="str">
        <f>IFERROR(INDEX('Model Inventory'!$B:$B, MATCH($B3, 'Model Inventory'!$A:$A, 0)), "Model Not Found")</f>
        <v>Lending Club Credit Risk</v>
      </c>
      <c r="D3" s="7" t="s">
        <v>74</v>
      </c>
      <c r="E3" s="7" t="s">
        <v>14</v>
      </c>
      <c r="F3" s="8">
        <v>46270</v>
      </c>
      <c r="G3" s="7" t="s">
        <v>75</v>
      </c>
      <c r="H3" s="7" t="s">
        <v>19</v>
      </c>
      <c r="I3" s="8">
        <v>46300</v>
      </c>
      <c r="J3">
        <f t="shared" ca="1" si="0"/>
        <v>52</v>
      </c>
      <c r="K3" t="str">
        <f t="shared" ref="K3:K8" ca="1" si="1">IF(H3="Closed", "No", IF(TODAY()&gt;I3, "Yes", "No"))</f>
        <v>Yes</v>
      </c>
    </row>
    <row r="4" spans="1:11" ht="18.75" customHeight="1" x14ac:dyDescent="0.25">
      <c r="A4" s="7" t="s">
        <v>76</v>
      </c>
      <c r="B4" s="7" t="s">
        <v>42</v>
      </c>
      <c r="C4" s="3" t="str">
        <f>IFERROR(INDEX('Model Inventory'!$B:$B, MATCH($B4, 'Model Inventory'!$A:$A, 0)), "Model Not Found")</f>
        <v>Lending Club Credit Risk</v>
      </c>
      <c r="D4" s="7" t="s">
        <v>77</v>
      </c>
      <c r="E4" s="7" t="s">
        <v>14</v>
      </c>
      <c r="F4" s="8">
        <v>46270</v>
      </c>
      <c r="G4" s="7" t="s">
        <v>75</v>
      </c>
      <c r="H4" s="7" t="s">
        <v>19</v>
      </c>
      <c r="I4" s="8">
        <v>46300</v>
      </c>
      <c r="J4">
        <f t="shared" ca="1" si="0"/>
        <v>52</v>
      </c>
      <c r="K4" t="str">
        <f t="shared" ca="1" si="1"/>
        <v>Yes</v>
      </c>
    </row>
    <row r="5" spans="1:11" ht="18" customHeight="1" x14ac:dyDescent="0.25">
      <c r="A5" s="7" t="s">
        <v>78</v>
      </c>
      <c r="B5" s="7" t="s">
        <v>42</v>
      </c>
      <c r="C5" s="3" t="str">
        <f>IFERROR(INDEX('Model Inventory'!$B:$B, MATCH($B5, 'Model Inventory'!$A:$A, 0)), "Model Not Found")</f>
        <v>Lending Club Credit Risk</v>
      </c>
      <c r="D5" s="7" t="s">
        <v>79</v>
      </c>
      <c r="E5" s="7" t="s">
        <v>14</v>
      </c>
      <c r="F5" s="8">
        <v>46270</v>
      </c>
      <c r="G5" s="7" t="s">
        <v>75</v>
      </c>
      <c r="H5" s="7" t="s">
        <v>19</v>
      </c>
      <c r="I5" s="8">
        <v>46361</v>
      </c>
      <c r="J5">
        <f t="shared" ca="1" si="0"/>
        <v>52</v>
      </c>
      <c r="K5" t="str">
        <f t="shared" ca="1" si="1"/>
        <v>No</v>
      </c>
    </row>
    <row r="6" spans="1:11" ht="19.5" customHeight="1" x14ac:dyDescent="0.25">
      <c r="A6" s="7" t="s">
        <v>80</v>
      </c>
      <c r="B6" s="7" t="s">
        <v>42</v>
      </c>
      <c r="C6" s="3" t="str">
        <f>IFERROR(INDEX('Model Inventory'!$B:$B, MATCH($B6, 'Model Inventory'!$A:$A, 0)), "Model Not Found")</f>
        <v>Lending Club Credit Risk</v>
      </c>
      <c r="D6" s="7" t="s">
        <v>81</v>
      </c>
      <c r="E6" s="7" t="s">
        <v>15</v>
      </c>
      <c r="F6" s="8">
        <v>46270</v>
      </c>
      <c r="G6" s="7" t="s">
        <v>75</v>
      </c>
      <c r="H6" s="7" t="s">
        <v>19</v>
      </c>
      <c r="I6" s="8">
        <v>46300</v>
      </c>
      <c r="J6">
        <f t="shared" ca="1" si="0"/>
        <v>52</v>
      </c>
      <c r="K6" t="str">
        <f t="shared" ca="1" si="1"/>
        <v>Yes</v>
      </c>
    </row>
    <row r="7" spans="1:11" ht="17.25" customHeight="1" x14ac:dyDescent="0.25">
      <c r="A7" s="7" t="s">
        <v>82</v>
      </c>
      <c r="B7" s="7" t="s">
        <v>42</v>
      </c>
      <c r="C7" s="3" t="str">
        <f>IFERROR(INDEX('Model Inventory'!$B:$B, MATCH($B7, 'Model Inventory'!$A:$A, 0)), "Model Not Found")</f>
        <v>Lending Club Credit Risk</v>
      </c>
      <c r="D7" s="7" t="s">
        <v>83</v>
      </c>
      <c r="E7" s="7" t="s">
        <v>15</v>
      </c>
      <c r="F7" s="8">
        <v>46270</v>
      </c>
      <c r="G7" s="7" t="s">
        <v>75</v>
      </c>
      <c r="H7" s="7" t="s">
        <v>19</v>
      </c>
      <c r="I7" s="8">
        <v>46300</v>
      </c>
      <c r="J7">
        <f t="shared" ca="1" si="0"/>
        <v>52</v>
      </c>
      <c r="K7" t="str">
        <f t="shared" ca="1" si="1"/>
        <v>Yes</v>
      </c>
    </row>
    <row r="8" spans="1:11" ht="17.25" customHeight="1" x14ac:dyDescent="0.25">
      <c r="A8" s="7" t="s">
        <v>84</v>
      </c>
      <c r="B8" s="7" t="s">
        <v>42</v>
      </c>
      <c r="C8" s="3" t="str">
        <f>IFERROR(INDEX('Model Inventory'!$B:$B, MATCH($B8, 'Model Inventory'!$A:$A, 0)), "Model Not Found")</f>
        <v>Lending Club Credit Risk</v>
      </c>
      <c r="D8" s="7" t="s">
        <v>85</v>
      </c>
      <c r="E8" s="7" t="s">
        <v>15</v>
      </c>
      <c r="F8" s="8">
        <v>46270</v>
      </c>
      <c r="G8" s="7" t="s">
        <v>72</v>
      </c>
      <c r="H8" s="7" t="s">
        <v>19</v>
      </c>
      <c r="I8" s="8">
        <v>46361</v>
      </c>
      <c r="J8">
        <f t="shared" ca="1" si="0"/>
        <v>52</v>
      </c>
      <c r="K8" t="str">
        <f t="shared" ca="1" si="1"/>
        <v>No</v>
      </c>
    </row>
    <row r="9" spans="1:11" ht="18.75" customHeight="1" thickBot="1" x14ac:dyDescent="0.3">
      <c r="A9" s="7" t="s">
        <v>86</v>
      </c>
      <c r="B9" s="7" t="s">
        <v>47</v>
      </c>
      <c r="C9" s="5" t="str">
        <f>IFERROR(INDEX('Model Inventory'!$B:$B, MATCH($B9, 'Model Inventory'!$A:$A, 0)), "Model Not Found")</f>
        <v>Fannie Mae IFRS 9 ECL</v>
      </c>
      <c r="D9" s="9" t="s">
        <v>87</v>
      </c>
      <c r="E9" s="9" t="s">
        <v>14</v>
      </c>
      <c r="F9" s="10">
        <v>46270</v>
      </c>
      <c r="G9" s="9" t="s">
        <v>75</v>
      </c>
      <c r="H9" s="9" t="s">
        <v>21</v>
      </c>
      <c r="I9" s="10">
        <v>46270</v>
      </c>
      <c r="J9" s="13" t="str">
        <f t="shared" ca="1" si="0"/>
        <v/>
      </c>
      <c r="K9" s="13" t="str">
        <f ca="1">IF(H9="Closed", "No", IF(TODAY()&gt;I9, "Yes", "No"))</f>
        <v>No</v>
      </c>
    </row>
    <row r="10" spans="1:11" ht="16.5" thickTop="1" x14ac:dyDescent="0.25">
      <c r="A10" s="39" t="s">
        <v>146</v>
      </c>
    </row>
    <row r="11" spans="1:11" x14ac:dyDescent="0.25">
      <c r="A11" s="17" t="s">
        <v>150</v>
      </c>
    </row>
    <row r="12" spans="1:11" x14ac:dyDescent="0.25">
      <c r="A12" s="17" t="s">
        <v>151</v>
      </c>
    </row>
    <row r="14" spans="1:11" x14ac:dyDescent="0.25">
      <c r="A14" s="2" t="s">
        <v>65</v>
      </c>
    </row>
  </sheetData>
  <dataValidations count="4">
    <dataValidation type="list" allowBlank="1" sqref="E14" xr:uid="{CF2EAB01-0E69-4C19-AA6F-78E7870ECA3F}">
      <formula1>"High,Medium,Low"</formula1>
      <formula2>0</formula2>
    </dataValidation>
    <dataValidation type="list" allowBlank="1" sqref="G14" xr:uid="{E106DDC2-F202-4912-8F82-4193A3A76422}">
      <formula1>"Open,In Remediation,Closed"</formula1>
      <formula2>0</formula2>
    </dataValidation>
    <dataValidation type="list" allowBlank="1" showInputMessage="1" showErrorMessage="1" sqref="E2:E9" xr:uid="{7EA9D62C-CD5E-451C-96DD-28563C4A11C0}">
      <formula1>$E$2:$E$9</formula1>
    </dataValidation>
    <dataValidation type="list" allowBlank="1" showInputMessage="1" showErrorMessage="1" sqref="H2:H9" xr:uid="{A13092AF-3D3D-449B-8729-5D75E28C6CA9}">
      <formula1>$H$2:$H$9</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CA21F-9309-465E-9565-C5789BDE7055}">
  <dimension ref="A1:I11"/>
  <sheetViews>
    <sheetView workbookViewId="0">
      <pane ySplit="1" topLeftCell="A2" activePane="bottomLeft" state="frozen"/>
      <selection pane="bottomLeft" activeCell="C13" sqref="C13"/>
    </sheetView>
  </sheetViews>
  <sheetFormatPr defaultRowHeight="15" x14ac:dyDescent="0.25"/>
  <cols>
    <col min="2" max="2" width="24.7109375" customWidth="1"/>
    <col min="3" max="3" width="23.42578125" customWidth="1"/>
    <col min="5" max="5" width="24.5703125" customWidth="1"/>
    <col min="6" max="6" width="21.140625" customWidth="1"/>
    <col min="7" max="7" width="20.42578125" customWidth="1"/>
    <col min="8" max="8" width="15.5703125" customWidth="1"/>
    <col min="9" max="10" width="23.42578125" customWidth="1"/>
  </cols>
  <sheetData>
    <row r="1" spans="1:9" ht="17.25" customHeight="1" x14ac:dyDescent="0.25">
      <c r="A1" s="32" t="s">
        <v>30</v>
      </c>
      <c r="B1" s="32" t="s">
        <v>31</v>
      </c>
      <c r="C1" s="32" t="s">
        <v>32</v>
      </c>
      <c r="D1" s="32" t="s">
        <v>0</v>
      </c>
      <c r="E1" s="32" t="s">
        <v>33</v>
      </c>
      <c r="F1" s="32" t="s">
        <v>40</v>
      </c>
      <c r="G1" s="32" t="s">
        <v>88</v>
      </c>
      <c r="H1" s="32" t="s">
        <v>89</v>
      </c>
      <c r="I1" s="32" t="s">
        <v>41</v>
      </c>
    </row>
    <row r="2" spans="1:9" x14ac:dyDescent="0.25">
      <c r="A2" t="str">
        <f>'Model Inventory'!A2</f>
        <v>MDL-001</v>
      </c>
      <c r="B2" t="str">
        <f>'Model Inventory'!B2</f>
        <v>Lending Club Credit Risk</v>
      </c>
      <c r="C2" t="str">
        <f>'Model Inventory'!D2</f>
        <v>Credit Risk Dept</v>
      </c>
      <c r="D2" s="3" t="str">
        <f>'Model Inventory'!F2</f>
        <v>Tier 1</v>
      </c>
      <c r="E2" s="33">
        <f>'Model Inventory'!H2</f>
        <v>46270</v>
      </c>
      <c r="F2" s="33">
        <f>'Model Inventory'!J2</f>
        <v>46635</v>
      </c>
      <c r="G2" s="3">
        <f ca="1">F2-TODAY()</f>
        <v>313</v>
      </c>
      <c r="H2" s="34" t="str">
        <f ca="1">IF(G2&lt;0, "OVERDUE", IF(G2&lt;=60, "Due Soon", "On Track"))</f>
        <v>On Track</v>
      </c>
      <c r="I2">
        <f>'Model Inventory'!K2</f>
        <v>7</v>
      </c>
    </row>
    <row r="3" spans="1:9" x14ac:dyDescent="0.25">
      <c r="A3" t="str">
        <f>'Model Inventory'!A3</f>
        <v>MDL-002</v>
      </c>
      <c r="B3" t="str">
        <f>'Model Inventory'!B3</f>
        <v>Fannie Mae IFRS 9 ECL</v>
      </c>
      <c r="C3" t="str">
        <f>'Model Inventory'!D3</f>
        <v>Credit Risk Dept</v>
      </c>
      <c r="D3" s="3" t="str">
        <f>'Model Inventory'!F3</f>
        <v>Tier 1</v>
      </c>
      <c r="E3" s="33">
        <f>'Model Inventory'!H3</f>
        <v>46270</v>
      </c>
      <c r="F3" s="33">
        <f>'Model Inventory'!J3</f>
        <v>46635</v>
      </c>
      <c r="G3" s="3">
        <f t="shared" ref="G3:G7" ca="1" si="0">F3-TODAY()</f>
        <v>313</v>
      </c>
      <c r="H3" s="34" t="str">
        <f t="shared" ref="H3:H7" ca="1" si="1">IF(G3&lt;0, "OVERDUE", IF(G3&lt;=60, "Due Soon", "On Track"))</f>
        <v>On Track</v>
      </c>
      <c r="I3">
        <f>'Model Inventory'!K3</f>
        <v>0</v>
      </c>
    </row>
    <row r="4" spans="1:9" x14ac:dyDescent="0.25">
      <c r="A4" t="str">
        <f>'Model Inventory'!A4</f>
        <v>MDL-003</v>
      </c>
      <c r="B4" t="str">
        <f>'Model Inventory'!B4</f>
        <v>AML Transaction Monitoring</v>
      </c>
      <c r="C4" t="str">
        <f>'Model Inventory'!D4</f>
        <v>Compliance</v>
      </c>
      <c r="D4" s="3" t="str">
        <f>'Model Inventory'!F4</f>
        <v>Tier 1</v>
      </c>
      <c r="E4" s="33">
        <f>'Model Inventory'!H4</f>
        <v>45818</v>
      </c>
      <c r="F4" s="33">
        <f>'Model Inventory'!J4</f>
        <v>46183</v>
      </c>
      <c r="G4" s="3">
        <f t="shared" ca="1" si="0"/>
        <v>-139</v>
      </c>
      <c r="H4" s="34" t="str">
        <f t="shared" ca="1" si="1"/>
        <v>OVERDUE</v>
      </c>
      <c r="I4">
        <f>'Model Inventory'!K4</f>
        <v>0</v>
      </c>
    </row>
    <row r="5" spans="1:9" x14ac:dyDescent="0.25">
      <c r="A5" t="str">
        <f>'Model Inventory'!A5</f>
        <v>MDL-004</v>
      </c>
      <c r="B5" t="str">
        <f>'Model Inventory'!B5</f>
        <v>Market Risk VaR</v>
      </c>
      <c r="C5" t="str">
        <f>'Model Inventory'!D5</f>
        <v>Trading</v>
      </c>
      <c r="D5" s="3" t="str">
        <f>'Model Inventory'!F5</f>
        <v>Tier 1</v>
      </c>
      <c r="E5" s="33">
        <f>'Model Inventory'!H5</f>
        <v>46042</v>
      </c>
      <c r="F5" s="33">
        <f>'Model Inventory'!J5</f>
        <v>46407</v>
      </c>
      <c r="G5" s="3">
        <f t="shared" ca="1" si="0"/>
        <v>85</v>
      </c>
      <c r="H5" s="34" t="str">
        <f t="shared" ca="1" si="1"/>
        <v>On Track</v>
      </c>
      <c r="I5">
        <f>'Model Inventory'!K5</f>
        <v>0</v>
      </c>
    </row>
    <row r="6" spans="1:9" x14ac:dyDescent="0.25">
      <c r="A6" t="str">
        <f>'Model Inventory'!A6</f>
        <v>MDL-005</v>
      </c>
      <c r="B6" t="str">
        <f>'Model Inventory'!B6</f>
        <v>SME Credit Scoring</v>
      </c>
      <c r="C6" t="str">
        <f>'Model Inventory'!D6</f>
        <v>Credit Risk Dept</v>
      </c>
      <c r="D6" s="3" t="str">
        <f>'Model Inventory'!F6</f>
        <v>Tier 2</v>
      </c>
      <c r="E6" s="33">
        <f>'Model Inventory'!H6</f>
        <v>45792</v>
      </c>
      <c r="F6" s="33">
        <f>'Model Inventory'!J6</f>
        <v>46341</v>
      </c>
      <c r="G6" s="3">
        <f t="shared" ca="1" si="0"/>
        <v>19</v>
      </c>
      <c r="H6" s="34" t="str">
        <f t="shared" ca="1" si="1"/>
        <v>Due Soon</v>
      </c>
      <c r="I6">
        <f>'Model Inventory'!K6</f>
        <v>0</v>
      </c>
    </row>
    <row r="7" spans="1:9" ht="15.75" thickBot="1" x14ac:dyDescent="0.3">
      <c r="A7" s="13" t="str">
        <f>'Model Inventory'!A7</f>
        <v>MDL-006</v>
      </c>
      <c r="B7" s="13" t="str">
        <f>'Model Inventory'!B7</f>
        <v>Operational Risk Capital</v>
      </c>
      <c r="C7" s="13" t="str">
        <f>'Model Inventory'!D7</f>
        <v>Risk</v>
      </c>
      <c r="D7" s="5" t="str">
        <f>'Model Inventory'!F7</f>
        <v>Tier 3</v>
      </c>
      <c r="E7" s="35">
        <f>'Model Inventory'!H7</f>
        <v>45474</v>
      </c>
      <c r="F7" s="35">
        <f>'Model Inventory'!J7</f>
        <v>46204</v>
      </c>
      <c r="G7" s="5">
        <f t="shared" ca="1" si="0"/>
        <v>-118</v>
      </c>
      <c r="H7" s="36" t="str">
        <f t="shared" ca="1" si="1"/>
        <v>OVERDUE</v>
      </c>
      <c r="I7" s="13">
        <f>'Model Inventory'!K7</f>
        <v>0</v>
      </c>
    </row>
    <row r="8" spans="1:9" ht="15.75" thickTop="1" x14ac:dyDescent="0.25"/>
    <row r="9" spans="1:9" ht="15.75" x14ac:dyDescent="0.25">
      <c r="A9" s="39" t="s">
        <v>147</v>
      </c>
    </row>
    <row r="10" spans="1:9" x14ac:dyDescent="0.25">
      <c r="A10" s="17" t="s">
        <v>152</v>
      </c>
    </row>
    <row r="11" spans="1:9" x14ac:dyDescent="0.25">
      <c r="A11" s="17" t="s">
        <v>153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504C7-3177-408E-A8F4-BB4E603BA879}">
  <dimension ref="A1:J35"/>
  <sheetViews>
    <sheetView workbookViewId="0">
      <selection activeCell="F39" sqref="F39"/>
    </sheetView>
  </sheetViews>
  <sheetFormatPr defaultRowHeight="15" x14ac:dyDescent="0.25"/>
  <cols>
    <col min="2" max="2" width="20.28515625" customWidth="1"/>
    <col min="3" max="4" width="5.5703125" customWidth="1"/>
  </cols>
  <sheetData>
    <row r="1" spans="1:10" ht="23.25" x14ac:dyDescent="0.35">
      <c r="A1" s="14" t="s">
        <v>1</v>
      </c>
    </row>
    <row r="3" spans="1:10" x14ac:dyDescent="0.25">
      <c r="A3" s="1" t="s">
        <v>6</v>
      </c>
    </row>
    <row r="4" spans="1:10" x14ac:dyDescent="0.25">
      <c r="A4" s="43" t="s">
        <v>0</v>
      </c>
      <c r="B4" s="43" t="s">
        <v>2</v>
      </c>
    </row>
    <row r="5" spans="1:10" x14ac:dyDescent="0.25">
      <c r="A5" t="s">
        <v>3</v>
      </c>
      <c r="B5">
        <v>12</v>
      </c>
      <c r="E5" s="40" t="s">
        <v>155</v>
      </c>
      <c r="F5" s="20"/>
    </row>
    <row r="6" spans="1:10" x14ac:dyDescent="0.25">
      <c r="A6" t="s">
        <v>4</v>
      </c>
      <c r="B6">
        <v>18</v>
      </c>
      <c r="E6" s="40" t="s">
        <v>156</v>
      </c>
      <c r="F6" s="20"/>
    </row>
    <row r="7" spans="1:10" ht="15.75" thickBot="1" x14ac:dyDescent="0.3">
      <c r="A7" s="13" t="s">
        <v>5</v>
      </c>
      <c r="B7" s="13">
        <v>24</v>
      </c>
      <c r="E7" s="40" t="s">
        <v>157</v>
      </c>
      <c r="F7" s="20"/>
    </row>
    <row r="8" spans="1:10" ht="15.75" thickTop="1" x14ac:dyDescent="0.25"/>
    <row r="9" spans="1:10" x14ac:dyDescent="0.25">
      <c r="A9" s="1" t="s">
        <v>7</v>
      </c>
    </row>
    <row r="10" spans="1:10" x14ac:dyDescent="0.25">
      <c r="A10" s="43" t="s">
        <v>8</v>
      </c>
      <c r="B10" s="44"/>
    </row>
    <row r="11" spans="1:10" x14ac:dyDescent="0.25">
      <c r="A11" t="s">
        <v>9</v>
      </c>
      <c r="E11" s="40" t="s">
        <v>158</v>
      </c>
    </row>
    <row r="12" spans="1:10" x14ac:dyDescent="0.25">
      <c r="A12" t="s">
        <v>10</v>
      </c>
      <c r="E12" s="1" t="s">
        <v>159</v>
      </c>
    </row>
    <row r="13" spans="1:10" ht="15.75" thickBot="1" x14ac:dyDescent="0.3">
      <c r="A13" s="13" t="s">
        <v>11</v>
      </c>
      <c r="B13" s="13"/>
      <c r="E13" t="s">
        <v>160</v>
      </c>
    </row>
    <row r="14" spans="1:10" ht="15.75" thickTop="1" x14ac:dyDescent="0.25">
      <c r="J14" t="s">
        <v>154</v>
      </c>
    </row>
    <row r="15" spans="1:10" x14ac:dyDescent="0.25">
      <c r="A15" s="1" t="s">
        <v>12</v>
      </c>
    </row>
    <row r="16" spans="1:10" x14ac:dyDescent="0.25">
      <c r="A16" s="43" t="s">
        <v>13</v>
      </c>
      <c r="B16" s="44"/>
    </row>
    <row r="17" spans="1:5" x14ac:dyDescent="0.25">
      <c r="A17" t="s">
        <v>14</v>
      </c>
      <c r="E17" s="40" t="s">
        <v>161</v>
      </c>
    </row>
    <row r="18" spans="1:5" x14ac:dyDescent="0.25">
      <c r="A18" t="s">
        <v>15</v>
      </c>
      <c r="E18" t="s">
        <v>162</v>
      </c>
    </row>
    <row r="19" spans="1:5" ht="15.75" thickBot="1" x14ac:dyDescent="0.3">
      <c r="A19" s="13" t="s">
        <v>16</v>
      </c>
      <c r="B19" s="13"/>
    </row>
    <row r="20" spans="1:5" ht="15.75" thickTop="1" x14ac:dyDescent="0.25"/>
    <row r="21" spans="1:5" x14ac:dyDescent="0.25">
      <c r="A21" s="1" t="s">
        <v>17</v>
      </c>
    </row>
    <row r="22" spans="1:5" x14ac:dyDescent="0.25">
      <c r="A22" s="43" t="s">
        <v>18</v>
      </c>
      <c r="B22" s="44"/>
    </row>
    <row r="23" spans="1:5" x14ac:dyDescent="0.25">
      <c r="A23" t="s">
        <v>19</v>
      </c>
      <c r="E23" s="40" t="s">
        <v>163</v>
      </c>
    </row>
    <row r="24" spans="1:5" x14ac:dyDescent="0.25">
      <c r="A24" t="s">
        <v>20</v>
      </c>
      <c r="E24" t="s">
        <v>164</v>
      </c>
    </row>
    <row r="25" spans="1:5" ht="15.75" thickBot="1" x14ac:dyDescent="0.3">
      <c r="A25" s="13" t="s">
        <v>21</v>
      </c>
      <c r="B25" s="13"/>
      <c r="E25" t="s">
        <v>165</v>
      </c>
    </row>
    <row r="26" spans="1:5" ht="15.75" thickTop="1" x14ac:dyDescent="0.25"/>
    <row r="27" spans="1:5" x14ac:dyDescent="0.25">
      <c r="A27" s="1" t="s">
        <v>22</v>
      </c>
    </row>
    <row r="28" spans="1:5" x14ac:dyDescent="0.25">
      <c r="A28" s="43" t="s">
        <v>23</v>
      </c>
      <c r="B28" s="44"/>
    </row>
    <row r="29" spans="1:5" x14ac:dyDescent="0.25">
      <c r="A29" t="s">
        <v>24</v>
      </c>
      <c r="E29" t="s">
        <v>166</v>
      </c>
    </row>
    <row r="30" spans="1:5" x14ac:dyDescent="0.25">
      <c r="A30" t="s">
        <v>25</v>
      </c>
      <c r="E30" t="s">
        <v>167</v>
      </c>
    </row>
    <row r="31" spans="1:5" x14ac:dyDescent="0.25">
      <c r="A31" t="s">
        <v>26</v>
      </c>
      <c r="E31" t="s">
        <v>168</v>
      </c>
    </row>
    <row r="32" spans="1:5" x14ac:dyDescent="0.25">
      <c r="A32" t="s">
        <v>27</v>
      </c>
    </row>
    <row r="33" spans="1:2" x14ac:dyDescent="0.25">
      <c r="A33" t="s">
        <v>28</v>
      </c>
    </row>
    <row r="34" spans="1:2" ht="15.75" thickBot="1" x14ac:dyDescent="0.3">
      <c r="A34" s="13" t="s">
        <v>29</v>
      </c>
      <c r="B34" s="13"/>
    </row>
    <row r="35" spans="1:2" ht="15.75" thickTop="1" x14ac:dyDescent="0.25"/>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README</vt:lpstr>
      <vt:lpstr>Executive Summary</vt:lpstr>
      <vt:lpstr>Model Inventory</vt:lpstr>
      <vt:lpstr>Findings Log</vt:lpstr>
      <vt:lpstr>Review Calendar</vt:lpstr>
      <vt:lpstr>Lookup 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Wani</dc:creator>
  <cp:lastModifiedBy>Milton Wani</cp:lastModifiedBy>
  <dcterms:created xsi:type="dcterms:W3CDTF">2026-10-24T12:32:22Z</dcterms:created>
  <dcterms:modified xsi:type="dcterms:W3CDTF">2026-10-27T14:28:17Z</dcterms:modified>
</cp:coreProperties>
</file>